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<sst xmlns="http://schemas.openxmlformats.org/spreadsheetml/2006/main" count="29" uniqueCount="23">
  <si>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工作表</t>
  </si>
  <si>
    <t>查询编号</t>
  </si>
  <si>
    <t>姓名</t>
  </si>
  <si>
    <t>部门</t>
  </si>
  <si>
    <t>工资</t>
  </si>
  <si>
    <t>员工编号</t>
  </si>
  <si>
    <t>基本工资</t>
  </si>
  <si>
    <t>学分</t>
  </si>
  <si>
    <t>等级</t>
  </si>
  <si>
    <t>E003</t>
  </si>
  <si>
    <t>E001</t>
  </si>
  <si>
    <t>张三</t>
  </si>
  <si>
    <t>技术部</t>
  </si>
  <si>
    <t>E004</t>
  </si>
  <si>
    <t>E002</t>
  </si>
  <si>
    <t>李四</t>
  </si>
  <si>
    <t>销售部</t>
  </si>
  <si>
    <t>王五</t>
  </si>
  <si>
    <t>财务部</t>
  </si>
  <si>
    <t>赵六</t>
  </si>
  <si>
    <t>E005</t>
  </si>
  <si>
    <t>钱七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</si>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</sst>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F2" sqref="F2"/>
    </sheetView>
  </sheetViews>
  <sheetFormatPr defaultColWidth="9" defaultRowHeight="16.8" outlineLevelRow="7"/>
  <sheetData>
    <row r="1" ht="23.2" spans="1:10">
      <c r="A1" s="1" t="s">
        <v>0</v>
      </c>
      <c r="G1" t="s">
        <v>1</v>
      </c>
      <c r="H1" t="s">
        <v>2</v>
      </c>
      <c r="I1" t="s">
        <v>3</v>
      </c>
      <c r="J1" t="s">
        <v>4</v>
      </c>
    </row>
    <row r="2" ht="17.6" spans="1:10">
      <c r="A2" s="2" t="s">
        <v>5</v>
      </c>
      <c r="B2" s="2" t="s">
        <v>2</v>
      </c>
      <c r="C2" s="2" t="s">
        <v>3</v>
      </c>
      <c r="D2" s="2" t="s">
        <v>6</v>
      </c>
      <c r="E2" s="2" t="s">
        <v>7</v>
      </c>
      <c r="F2" s="3" t="s">
        <v>8</v>
      </c>
      <c r="G2" t="s">
        <v>9</v>
      </c>
      <c r="H2" t="str">
        <f>VLOOKUP(G2,A2:D6,2,FALSE)</f>
        <v>王五</v>
      </c>
      <c r="I2" t="str">
        <f>VLOOKUP(G2,A2:D6,3,FALSE)</f>
        <v>财务部</v>
      </c>
      <c r="J2">
        <f>VLOOKUP(G2,A2:D6,4,FALSE)</f>
        <v>7000</v>
      </c>
    </row>
    <row r="3" spans="1:10">
      <c r="A3" s="4" t="s">
        <v>10</v>
      </c>
      <c r="B3" s="4" t="s">
        <v>11</v>
      </c>
      <c r="C3" s="4" t="s">
        <v>12</v>
      </c>
      <c r="D3" s="4">
        <v>8000</v>
      </c>
      <c r="E3" s="4">
        <v>65</v>
      </c>
      <c r="F3" t="str">
        <f>IF(E3&gt;=90,"优秀",IF(E3&gt;=80,"良好",IF(E3&gt;=60,"及格","不及格")))</f>
        <v>及格</v>
      </c>
      <c r="G3" t="s">
        <v>13</v>
      </c>
      <c r="H3" t="str">
        <f>VLOOKUP(G3,A2:D6,2,FALSE)</f>
        <v>赵六</v>
      </c>
      <c r="I3" t="str">
        <f>VLOOKUP(G3,A2:D6,3,FALSE)</f>
        <v>技术部</v>
      </c>
      <c r="J3">
        <f>VLOOKUP(G3,A2:D6,4,FALSE)</f>
        <v>8500</v>
      </c>
    </row>
    <row r="4" spans="1:10">
      <c r="A4" s="4" t="s">
        <v>14</v>
      </c>
      <c r="B4" s="4" t="s">
        <v>15</v>
      </c>
      <c r="C4" s="4" t="s">
        <v>16</v>
      </c>
      <c r="D4" s="4">
        <v>6000</v>
      </c>
      <c r="E4" s="4">
        <v>92</v>
      </c>
      <c r="F4" t="str">
        <f>IF(E4&gt;=90,"优秀",IF(E4&gt;=80,"良好",IF(E4&gt;=60,"及格","不及格")))</f>
        <v>优秀</v>
      </c>
    </row>
    <row r="5" spans="1:10">
      <c r="A5" s="4" t="s">
        <v>9</v>
      </c>
      <c r="B5" s="4" t="s">
        <v>17</v>
      </c>
      <c r="C5" s="4" t="s">
        <v>18</v>
      </c>
      <c r="D5" s="4">
        <v>7000</v>
      </c>
      <c r="E5" s="4">
        <v>85</v>
      </c>
      <c r="F5" t="str">
        <f>IF(E5&gt;=90,"优秀",IF(E5&gt;=80,"良好",IF(E5&gt;=60,"及格","不及格")))</f>
        <v>良好</v>
      </c>
    </row>
    <row r="6" spans="1:10">
      <c r="A6" s="4" t="s">
        <v>13</v>
      </c>
      <c r="B6" s="4" t="s">
        <v>19</v>
      </c>
      <c r="C6" s="4" t="s">
        <v>12</v>
      </c>
      <c r="D6" s="4">
        <v>8500</v>
      </c>
      <c r="E6" s="4">
        <v>74</v>
      </c>
      <c r="F6" t="str">
        <f>IF(E6&gt;=90,"优秀",IF(E6&gt;=80,"良好",IF(E6&gt;=60,"及格","不及格")))</f>
        <v>及格</v>
      </c>
    </row>
    <row r="7" spans="1:10">
      <c r="A7" s="4" t="s">
        <v>20</v>
      </c>
      <c r="B7" s="4" t="s">
        <v>21</v>
      </c>
      <c r="C7" s="4" t="s">
        <v>16</v>
      </c>
      <c r="D7" s="4">
        <v>5500</v>
      </c>
      <c r="E7" s="4">
        <v>55</v>
      </c>
      <c r="F7" t="str">
        <f>IF(E7&gt;=90,"优秀",IF(E7&gt;=80,"良好",IF(E7&gt;=60,"及格","不及格")))</f>
        <v>不及格</v>
      </c>
    </row>
    <row r="8" spans="1:10">
      <c r="C8" s="3" t="s">
        <v>22</v>
      </c>
      <c r="D8" s="3">
        <f>SUM(D3:D7)</f>
        <v>35000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2026-04-25T13:40:00Z</dcterms:created>
  <dcterms:modified xsi:type="dcterms:W3CDTF">2026-04-26T08:50:37Z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998BB6FEB757A4345D61ED69898B971C_42</vt:lpwstr>
  </property>
</Properties>
</file>